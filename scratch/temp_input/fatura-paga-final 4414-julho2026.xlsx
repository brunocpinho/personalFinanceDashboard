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Extension="png" ContentType="image/png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Fatura 07-26" sheetId="1" r:id="rId1"/>
  </sheets>
  <definedNames/>
  <calcPr/>
</workbook>
</file>

<file path=xl/sharedStrings.xml><?xml version="1.0" encoding="utf-8"?>
<sst xmlns="http://schemas.openxmlformats.org/spreadsheetml/2006/main">
  <si>
    <t xml:space="preserve"> </t>
  </si>
  <si>
    <t>Nome</t>
  </si>
  <si>
    <t>Bruno Costa De Almeida Pinho</t>
  </si>
  <si>
    <t>Agência</t>
  </si>
  <si>
    <t>9387</t>
  </si>
  <si>
    <t>Conta</t>
  </si>
  <si>
    <t>06270-7</t>
  </si>
  <si>
    <t>Fatura Paga - Julho/2026</t>
  </si>
  <si>
    <t>Cartão</t>
  </si>
  <si>
    <t>Valor</t>
  </si>
  <si>
    <t>Vencimento</t>
  </si>
  <si>
    <t>Azul Itau Infinite Visa - final 4414</t>
  </si>
  <si>
    <t xml:space="preserve">Você pagou R$ 213,58 de  </t>
  </si>
  <si>
    <t>Lançamentos</t>
  </si>
  <si>
    <t>Data</t>
  </si>
  <si>
    <t>Lançamento</t>
  </si>
  <si>
    <t>Parcelamento</t>
  </si>
  <si>
    <t>Titularidade</t>
  </si>
  <si>
    <t>Tipo do cartão</t>
  </si>
  <si>
    <t>Número do cartão</t>
  </si>
  <si>
    <t>Pagamento Com Saldo</t>
  </si>
  <si>
    <t>Titular</t>
  </si>
  <si>
    <t>Bruno C A Pinho</t>
  </si>
  <si>
    <t>Físico</t>
  </si>
  <si>
    <t>****4414</t>
  </si>
  <si>
    <t>Pagamento Debito Automatico</t>
  </si>
  <si>
    <t>Sorveteriasolebelo Horizontbr</t>
  </si>
  <si>
    <t>****0791</t>
  </si>
  <si>
    <t>Dma Distribuidora Sabelo Horizontbr</t>
  </si>
  <si>
    <t>Araujo Lojabelo Horizontbr</t>
  </si>
  <si>
    <t>Sebastiao Elvio Mottabelo Horizontbr</t>
  </si>
  <si>
    <t>Ifd*ifoodosascobr</t>
  </si>
  <si>
    <t>Virtual recorrente</t>
  </si>
  <si>
    <t>****1489</t>
  </si>
  <si>
    <t>Dl          *Uberridessao Paulobr</t>
  </si>
  <si>
    <t>Dl*uberridessao Paulobr</t>
  </si>
  <si>
    <t>Amazonmktplc*scazuutilsao Paulobr</t>
  </si>
  <si>
    <t>Ebn*spotifycuritibabr</t>
  </si>
  <si>
    <t>Supermercados Bhcontagembr</t>
  </si>
  <si>
    <t>Sacolao Minas Fruttbelo Horizontbr</t>
  </si>
  <si>
    <t>Redução Mensalidade - Plano Do Cartão</t>
  </si>
  <si>
    <t>Uber *Trip Help.uber.comhelp.uber.comnl</t>
  </si>
  <si>
    <t>USD 24,78 
(cotação R$ 5,46)</t>
  </si>
  <si>
    <t>Iof Internacional - Uber *Trip Help.uber.comhelp.uber.comnl</t>
  </si>
  <si>
    <t>Fuente Alemanasantiagocl</t>
  </si>
  <si>
    <t>USD 20,61 
(cotação R$ 5,46)</t>
  </si>
  <si>
    <t>Iof Internacional - Fuente Alemanasantiagocl</t>
  </si>
  <si>
    <t>USD 9,93 
(cotação R$ 5,38)</t>
  </si>
  <si>
    <t>Hoteles Almasursantiagocl</t>
  </si>
  <si>
    <t>USD 16,81 
(cotação R$ 5,38)</t>
  </si>
  <si>
    <t>Iof Internacional - Hoteles Almasursantiagocl</t>
  </si>
  <si>
    <t>El Torosantiagocl</t>
  </si>
  <si>
    <t>USD 46,20 
(cotação R$ 5,38)</t>
  </si>
  <si>
    <t>Iof Internacional - El Torosantiagocl</t>
  </si>
  <si>
    <t>Mercadopago*teagroupspalas Condescl</t>
  </si>
  <si>
    <t>USD 38,35 
(cotação R$ 5,39)</t>
  </si>
  <si>
    <t>Iof Internacional - Mercadopago*teagroupspalas Condescl</t>
  </si>
  <si>
    <t>D Y J Ltdasantiagocl</t>
  </si>
  <si>
    <t>USD 7,34 
(cotação R$ 5,39)</t>
  </si>
  <si>
    <t>Iof Internacional - D Y J Ltdasantiagocl</t>
  </si>
  <si>
    <t>Baby Ashley Spasantiagocl</t>
  </si>
  <si>
    <t>USD 16,92 
(cotação R$ 5,39)</t>
  </si>
  <si>
    <t>Iof Internacional - Baby Ashley Spasantiagocl</t>
  </si>
  <si>
    <t>USD 18,39 
(cotação R$ 5,39)</t>
  </si>
  <si>
    <t>Pg *Nio Fibrario De Janeirbr</t>
  </si>
  <si>
    <t>Tacu Tacusantiagocl</t>
  </si>
  <si>
    <t>USD 24,00 
(cotação R$ 5,34)</t>
  </si>
  <si>
    <t>Iof Internacional - Tacu Tacusantiagocl</t>
  </si>
  <si>
    <t>USD 238,95 
(cotação R$ 5,34)</t>
  </si>
  <si>
    <t>Sumup * Transportes Ymaculcl</t>
  </si>
  <si>
    <t>USD 33,46 
(cotação R$ 5,34)</t>
  </si>
  <si>
    <t>Iof Internacional - Sumup * Transportes Ymaculcl</t>
  </si>
  <si>
    <t>Cruzverde Cv 1135santiagocl</t>
  </si>
  <si>
    <t>USD 4,45 
(cotação R$ 5,34)</t>
  </si>
  <si>
    <t>Iof Internacional - Cruzverde Cv 1135santiagocl</t>
  </si>
  <si>
    <t>Mercadopago*lagarderelas Condescl</t>
  </si>
  <si>
    <t>USD 36,77 
(cotação R$ 5,34)</t>
  </si>
  <si>
    <t>Iof Internacional - Mercadopago*lagarderelas Condescl</t>
  </si>
  <si>
    <t>Vivo Easy*vivo Easao Paulobr</t>
  </si>
  <si>
    <t>Allpark Empreendimentos,belo Horizontbr</t>
  </si>
  <si>
    <t>Ifd*bread Baker - Estorilestorilbr</t>
  </si>
  <si>
    <t>Mercadolivre*mercadolivrefrancabr</t>
  </si>
  <si>
    <t>Ifd*ss Delivery Ltdabelo Horizontbr</t>
  </si>
  <si>
    <t>Posto Barao Ltdabelo Horizontbr</t>
  </si>
  <si>
    <t>Dl*google Youtubsao Paulobr</t>
  </si>
  <si>
    <t>Eventim     *Eventimsao Paulobr</t>
  </si>
  <si>
    <t>Virtual temporário</t>
  </si>
  <si>
    <t>****9655</t>
  </si>
  <si>
    <t>Wellhub Bruno Costa De Alsao Paulobr</t>
  </si>
  <si>
    <t>Amazonmktplc*jldasilvasao Paulobr</t>
  </si>
  <si>
    <t>Zara Brasil Ltdabarueribr</t>
  </si>
  <si>
    <t>Toca Do Chicobelo Horizontbr</t>
  </si>
  <si>
    <t>Mineirim Gutierrezbelo Horizontbr</t>
  </si>
  <si>
    <t>Mercadolivre*trevilarpecaosascobr</t>
  </si>
  <si>
    <t>Posto Barao De Melo Ltbelo Horizontbr</t>
  </si>
  <si>
    <t>Pisom Barbeariabelo Horizontbr</t>
  </si>
  <si>
    <t>Amazonmktplc*rocksuplesao Bernardobr</t>
  </si>
  <si>
    <t>Petz Digitalembubr</t>
  </si>
  <si>
    <t>Acelerador De Pontos</t>
  </si>
  <si>
    <t>Ifd*sm Delivery Ltdabelo Horizontbr</t>
  </si>
  <si>
    <t>Mercadolivre*trmarussigosascobr</t>
  </si>
  <si>
    <t>Airbnb * Hmf44bm8rysao Paulobr</t>
  </si>
  <si>
    <t>****2619</t>
  </si>
  <si>
    <t>Md Com De Aliment Ltdabelo Horizontbr</t>
  </si>
  <si>
    <t>Mensalidade - Plano Do Cartão</t>
  </si>
  <si>
    <t>High Torque Tune Upbelo Horizontbr</t>
  </si>
  <si>
    <t>Parcela 2 de 5</t>
  </si>
  <si>
    <t>Listo*automax Fiatbelo Horizontbr</t>
  </si>
  <si>
    <t>Parcela 2 de 12</t>
  </si>
  <si>
    <t>Lite   *Vivoeasyanualsao Paulobr</t>
  </si>
  <si>
    <t>Parcela 4 de 12</t>
  </si>
  <si>
    <t>Augustus Clinique      Nova Lima     Br</t>
  </si>
  <si>
    <t>Parcela 9 de 10</t>
  </si>
  <si>
    <t xml:space="preserve">Subtotal  </t>
  </si>
  <si>
    <t>Importante saber</t>
  </si>
  <si>
    <t>As compras recentes levam até 48 horas para aparecer na fatura. Compras parceladas podem levar até 5 dias para apresentar o valor dividido em parcelas. A fatura para pagamento apresentará o valor da parcela negociado no momento da compra. Após o pagamento da fatura fechada, o valor daquele saldo não será mais somado ao total da fatura. Para contestar compra, realize a solicitação via app Itaú. Se preferir, realize via central de atendimento.</t>
  </si>
</sst>
</file>

<file path=xl/styles.xml><?xml version="1.0" encoding="utf-8"?>
<styleSheet xmlns="http://schemas.openxmlformats.org/spreadsheetml/2006/main">
  <numFmts count="2">
    <numFmt numFmtId="100" formatCode="[$R$-416] * #,##0.00;[$R$-416] * -#,##0.00"/>
    <numFmt numFmtId="101" formatCode="dd/mm/yyyy"/>
  </numFmts>
  <fonts count="6">
    <font>
      <name val="Verdana"/>
      <sz val="10"/>
      <family val="2"/>
      <color theme="1"/>
    </font>
    <font>
      <name val="Verdana"/>
      <sz val="16"/>
      <family val="2"/>
      <b/>
      <color theme="1"/>
    </font>
    <font>
      <name val="Verdana"/>
      <sz val="10"/>
      <family val="2"/>
      <b/>
      <color theme="1"/>
    </font>
    <font>
      <name val="Verdana"/>
      <sz val="10"/>
      <family val="2"/>
      <b/>
      <color rgb="FF006611"/>
    </font>
    <font>
      <name val="Verdana"/>
      <sz val="8"/>
      <family val="2"/>
      <color theme="1"/>
    </font>
    <font>
      <name val="Verdana"/>
      <sz val="8"/>
      <family val="2"/>
      <b/>
      <color theme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</borders>
  <cellXfs count="24">
    <xf fontId="0" applyFont="1"/>
    <xf fontId="0" applyFont="1" applyAlignment="1">
      <alignment horizontal="left" vertical="center"/>
    </xf>
    <xf fontId="1" applyFont="1" applyAlignment="1">
      <alignment horizontal="left" vertical="top"/>
    </xf>
    <xf fontId="2" applyFont="1" borderId="1" applyBorder="1" applyAlignment="1">
      <alignment horizontal="left" vertical="center"/>
    </xf>
    <xf fontId="2" applyFont="1" borderId="1" applyBorder="1" applyAlignment="1">
      <alignment horizontal="right" vertical="center"/>
    </xf>
    <xf fontId="0" applyFont="1" applyAlignment="1">
      <alignment horizontal="right" vertical="center"/>
    </xf>
    <xf numFmtId="100" applyNumberFormat="1" fontId="0" applyFont="1" applyAlignment="1">
      <alignment horizontal="left" vertical="center"/>
    </xf>
    <xf numFmtId="101" applyNumberFormat="1" fontId="0" applyFont="1" applyAlignment="1">
      <alignment horizontal="right" vertical="center"/>
    </xf>
    <xf fontId="0" applyFont="1" borderId="1" applyBorder="1"/>
    <xf numFmtId="101" applyNumberFormat="1" fontId="3" applyFont="1" applyAlignment="1">
      <alignment horizontal="left" vertical="center"/>
    </xf>
    <xf fontId="3" applyFont="1" applyAlignment="1">
      <alignment horizontal="left" vertical="center" wrapText="1"/>
    </xf>
    <xf fontId="3" applyFont="1" applyAlignment="1">
      <alignment horizontal="left" vertical="center"/>
    </xf>
    <xf numFmtId="100" applyNumberFormat="1" fontId="3" applyFont="1" applyAlignment="1">
      <alignment horizontal="left" vertical="center"/>
    </xf>
    <xf numFmtId="101" applyNumberFormat="1" fontId="0" applyFont="1" borderId="2" applyBorder="1" applyAlignment="1">
      <alignment horizontal="left" vertical="center"/>
    </xf>
    <xf fontId="0" applyFont="1" borderId="2" applyBorder="1" applyAlignment="1">
      <alignment horizontal="left" vertical="center" wrapText="1"/>
    </xf>
    <xf fontId="0" applyFont="1" borderId="2" applyBorder="1" applyAlignment="1">
      <alignment horizontal="left" vertical="center"/>
    </xf>
    <xf numFmtId="100" applyNumberFormat="1" fontId="0" applyFont="1" borderId="2" applyBorder="1" applyAlignment="1">
      <alignment horizontal="left" vertical="center"/>
    </xf>
    <xf numFmtId="101" applyNumberFormat="1" fontId="0" applyFont="1" applyAlignment="1">
      <alignment horizontal="left" vertical="center"/>
    </xf>
    <xf fontId="0" applyFont="1" applyAlignment="1">
      <alignment horizontal="left" vertical="center" wrapText="1"/>
    </xf>
    <xf fontId="4" applyFont="1" applyAlignment="1">
      <alignment horizontal="center" vertical="center" wrapText="1"/>
    </xf>
    <xf fontId="2" applyFont="1" borderId="2" applyBorder="1" applyAlignment="1">
      <alignment horizontal="right" vertical="center"/>
    </xf>
    <xf numFmtId="100" applyNumberFormat="1" fontId="2" applyFont="1" borderId="2" applyBorder="1" applyAlignment="1">
      <alignment horizontal="left" vertical="center"/>
    </xf>
    <xf fontId="5" applyFont="1" applyAlignment="1">
      <alignment horizontal="left" vertical="top"/>
    </xf>
    <xf fontId="4" applyFont="1" applyAlignment="1">
      <alignment horizontal="left" vertical="top" wrapText="1"/>
    </xf>
  </cellXfs>
  <dxfs count="1">
    <dxf>
      <fill>
        <patternFill patternType="solid">
          <fgColor rgb="FFF1F2F4"/>
          <bgColor rgb="FFF1F2F4"/>
        </patternFill>
      </fill>
    </dxf>
  </d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-image-1" Type="http://schemas.openxmlformats.org/officeDocument/2006/relationships/image" Target="../media/sheet1-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152400</xdr:rowOff>
    </xdr:from>
    <xdr:ext cx="355600" cy="355600"/>
    <xdr:pic>
      <xdr:nvPicPr>
        <xdr:cNvPr id="1" name="Itaú" descr=""/>
        <xdr:cNvPicPr>
          <a:picLocks noChangeAspect="1"/>
        </xdr:cNvPicPr>
      </xdr:nvPicPr>
      <xdr:blipFill>
        <a:blip xmlns:r="http://schemas.openxmlformats.org/officeDocument/2006/relationships" r:embed="rId-image-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-drawing-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 showGridLines="false"/>
  </sheetViews>
  <cols>
    <col min="1" max="1" width="2" customWidth="1"/>
    <col min="2" max="2" width="14" customWidth="1"/>
    <col min="3" max="3" width="48" customWidth="1"/>
    <col min="4" max="4" width="16" customWidth="1"/>
    <col min="5" max="5" width="20" customWidth="1"/>
    <col min="6" max="6" width="15" customWidth="1"/>
    <col min="7" max="7" width="14" customWidth="1"/>
    <col min="8" max="8" width="28" customWidth="1"/>
    <col min="9" max="9" width="18" customWidth="1"/>
    <col min="10" max="10" width="20" customWidth="1"/>
  </cols>
  <sheetData>
    <row r="1" ht="46" customHeight="1">
      <c r="A1" s="0" t="s">
        <v>0</v>
      </c>
    </row>
    <row r="2"/>
    <row r="3">
      <c r="B3" s="1" t="s">
        <v>1</v>
      </c>
      <c r="C3" s="1" t="s">
        <v>2</v>
      </c>
    </row>
    <row r="4">
      <c r="B4" s="1" t="s">
        <v>3</v>
      </c>
      <c r="C4" s="1" t="s">
        <v>4</v>
      </c>
    </row>
    <row r="5">
      <c r="B5" s="1" t="s">
        <v>5</v>
      </c>
      <c r="C5" s="1" t="s">
        <v>6</v>
      </c>
    </row>
    <row r="6"/>
    <row r="7"/>
    <row r="8" ht="26" customHeight="1">
      <c r="B8" s="2" t="s">
        <v>7</v>
      </c>
    </row>
    <row r="9" ht="22" customHeight="1">
      <c r="A9" s="0"/>
      <c r="B9" s="3" t="s">
        <v>8</v>
      </c>
      <c r="C9" s="3"/>
      <c r="D9" s="3"/>
      <c r="E9" s="3"/>
      <c r="F9" s="3"/>
      <c r="G9" s="4" t="s">
        <v>9</v>
      </c>
      <c r="H9" s="4"/>
      <c r="I9" s="4" t="s">
        <v>10</v>
      </c>
      <c r="J9" s="4"/>
    </row>
    <row r="10" ht="18" customHeight="1">
      <c r="B10" s="1" t="s">
        <v>11</v>
      </c>
      <c r="C10" s="1"/>
      <c r="D10" s="5" t="s">
        <v>12</v>
      </c>
      <c r="E10" s="5"/>
      <c r="F10" s="5"/>
      <c r="G10" s="6">
        <v>213.58</v>
      </c>
      <c r="H10" s="1"/>
      <c r="I10" s="7">
        <v>46210</v>
      </c>
      <c r="J10" s="5"/>
    </row>
    <row r="11"/>
    <row r="12"/>
    <row r="13" ht="26" customHeight="1">
      <c r="B13" s="2" t="s">
        <v>13</v>
      </c>
    </row>
    <row r="14" ht="22" customHeight="1">
      <c r="A14" s="0"/>
      <c r="B14" s="3" t="s">
        <v>14</v>
      </c>
      <c r="C14" s="3" t="s">
        <v>15</v>
      </c>
      <c r="D14" s="3" t="s">
        <v>16</v>
      </c>
      <c r="E14" s="3" t="s">
        <v>9</v>
      </c>
      <c r="F14" s="8"/>
      <c r="G14" s="3" t="s">
        <v>17</v>
      </c>
      <c r="H14" s="3" t="s">
        <v>1</v>
      </c>
      <c r="I14" s="3" t="s">
        <v>18</v>
      </c>
      <c r="J14" s="3" t="s">
        <v>19</v>
      </c>
    </row>
    <row r="15" ht="18" customHeight="1">
      <c r="B15" s="9">
        <v>46198</v>
      </c>
      <c r="C15" s="10" t="s">
        <v>20</v>
      </c>
      <c r="D15" s="11"/>
      <c r="E15" s="12">
        <v>-21624.32</v>
      </c>
      <c r="F15" s="11"/>
      <c r="G15" s="11" t="s">
        <v>21</v>
      </c>
      <c r="H15" s="11" t="s">
        <v>22</v>
      </c>
      <c r="I15" s="11" t="s">
        <v>23</v>
      </c>
      <c r="J15" s="11" t="s">
        <v>24</v>
      </c>
    </row>
    <row r="16" ht="18" customHeight="1">
      <c r="B16" s="9">
        <v>46181</v>
      </c>
      <c r="C16" s="10" t="s">
        <v>25</v>
      </c>
      <c r="D16" s="11"/>
      <c r="E16" s="12">
        <v>-17782.06</v>
      </c>
      <c r="F16" s="11"/>
      <c r="G16" s="11" t="s">
        <v>21</v>
      </c>
      <c r="H16" s="11" t="s">
        <v>22</v>
      </c>
      <c r="I16" s="11" t="s">
        <v>23</v>
      </c>
      <c r="J16" s="11" t="s">
        <v>24</v>
      </c>
    </row>
    <row r="17" ht="18" customHeight="1">
      <c r="B17" s="13">
        <v>46200</v>
      </c>
      <c r="C17" s="14" t="s">
        <v>26</v>
      </c>
      <c r="D17" s="15"/>
      <c r="E17" s="16">
        <v>61.18</v>
      </c>
      <c r="F17" s="15"/>
      <c r="G17" s="15" t="s">
        <v>21</v>
      </c>
      <c r="H17" s="15" t="s">
        <v>22</v>
      </c>
      <c r="I17" s="15" t="s">
        <v>23</v>
      </c>
      <c r="J17" s="15" t="s">
        <v>27</v>
      </c>
    </row>
    <row r="18" ht="18" customHeight="1">
      <c r="B18" s="17">
        <v>46200</v>
      </c>
      <c r="C18" s="18" t="s">
        <v>26</v>
      </c>
      <c r="D18" s="1"/>
      <c r="E18" s="6">
        <v>27.38</v>
      </c>
      <c r="F18" s="1"/>
      <c r="G18" s="1" t="s">
        <v>21</v>
      </c>
      <c r="H18" s="1" t="s">
        <v>22</v>
      </c>
      <c r="I18" s="1" t="s">
        <v>23</v>
      </c>
      <c r="J18" s="1" t="s">
        <v>27</v>
      </c>
    </row>
    <row r="19" ht="18" customHeight="1">
      <c r="B19" s="17">
        <v>46197</v>
      </c>
      <c r="C19" s="18" t="s">
        <v>28</v>
      </c>
      <c r="D19" s="1"/>
      <c r="E19" s="6">
        <v>125.02</v>
      </c>
      <c r="F19" s="1"/>
      <c r="G19" s="1" t="s">
        <v>21</v>
      </c>
      <c r="H19" s="1" t="s">
        <v>22</v>
      </c>
      <c r="I19" s="1" t="s">
        <v>23</v>
      </c>
      <c r="J19" s="1" t="s">
        <v>27</v>
      </c>
    </row>
    <row r="20" ht="18" customHeight="1">
      <c r="B20" s="17">
        <v>46196</v>
      </c>
      <c r="C20" s="18" t="s">
        <v>29</v>
      </c>
      <c r="D20" s="1"/>
      <c r="E20" s="6">
        <v>108.46</v>
      </c>
      <c r="F20" s="1"/>
      <c r="G20" s="1" t="s">
        <v>21</v>
      </c>
      <c r="H20" s="1" t="s">
        <v>22</v>
      </c>
      <c r="I20" s="1" t="s">
        <v>23</v>
      </c>
      <c r="J20" s="1" t="s">
        <v>27</v>
      </c>
    </row>
    <row r="21" ht="18" customHeight="1">
      <c r="B21" s="17">
        <v>46196</v>
      </c>
      <c r="C21" s="18" t="s">
        <v>30</v>
      </c>
      <c r="D21" s="1"/>
      <c r="E21" s="6">
        <v>5.5</v>
      </c>
      <c r="F21" s="1"/>
      <c r="G21" s="1" t="s">
        <v>21</v>
      </c>
      <c r="H21" s="1" t="s">
        <v>22</v>
      </c>
      <c r="I21" s="1" t="s">
        <v>23</v>
      </c>
      <c r="J21" s="1" t="s">
        <v>27</v>
      </c>
    </row>
    <row r="22" ht="18" customHeight="1">
      <c r="B22" s="17">
        <v>46195</v>
      </c>
      <c r="C22" s="18" t="s">
        <v>31</v>
      </c>
      <c r="D22" s="1"/>
      <c r="E22" s="6">
        <v>5.95</v>
      </c>
      <c r="F22" s="1"/>
      <c r="G22" s="1" t="s">
        <v>21</v>
      </c>
      <c r="H22" s="1" t="s">
        <v>22</v>
      </c>
      <c r="I22" s="1" t="s">
        <v>32</v>
      </c>
      <c r="J22" s="1" t="s">
        <v>33</v>
      </c>
    </row>
    <row r="23" ht="18" customHeight="1">
      <c r="B23" s="17">
        <v>46194</v>
      </c>
      <c r="C23" s="18" t="s">
        <v>34</v>
      </c>
      <c r="D23" s="1"/>
      <c r="E23" s="6">
        <v>16.99</v>
      </c>
      <c r="F23" s="1"/>
      <c r="G23" s="1" t="s">
        <v>21</v>
      </c>
      <c r="H23" s="1" t="s">
        <v>22</v>
      </c>
      <c r="I23" s="1" t="s">
        <v>32</v>
      </c>
      <c r="J23" s="1" t="s">
        <v>33</v>
      </c>
    </row>
    <row r="24" ht="18" customHeight="1">
      <c r="B24" s="17">
        <v>46194</v>
      </c>
      <c r="C24" s="18" t="s">
        <v>35</v>
      </c>
      <c r="D24" s="1"/>
      <c r="E24" s="6">
        <v>21.35</v>
      </c>
      <c r="F24" s="1"/>
      <c r="G24" s="1" t="s">
        <v>21</v>
      </c>
      <c r="H24" s="1" t="s">
        <v>22</v>
      </c>
      <c r="I24" s="1" t="s">
        <v>32</v>
      </c>
      <c r="J24" s="1" t="s">
        <v>33</v>
      </c>
    </row>
    <row r="25" ht="18" customHeight="1">
      <c r="B25" s="17">
        <v>46194</v>
      </c>
      <c r="C25" s="18" t="s">
        <v>35</v>
      </c>
      <c r="D25" s="1"/>
      <c r="E25" s="6">
        <v>23.98</v>
      </c>
      <c r="F25" s="1"/>
      <c r="G25" s="1" t="s">
        <v>21</v>
      </c>
      <c r="H25" s="1" t="s">
        <v>22</v>
      </c>
      <c r="I25" s="1" t="s">
        <v>32</v>
      </c>
      <c r="J25" s="1" t="s">
        <v>33</v>
      </c>
    </row>
    <row r="26" ht="18" customHeight="1">
      <c r="B26" s="17">
        <v>46193</v>
      </c>
      <c r="C26" s="18" t="s">
        <v>36</v>
      </c>
      <c r="D26" s="1"/>
      <c r="E26" s="6">
        <v>97</v>
      </c>
      <c r="F26" s="1"/>
      <c r="G26" s="1" t="s">
        <v>21</v>
      </c>
      <c r="H26" s="1" t="s">
        <v>22</v>
      </c>
      <c r="I26" s="1" t="s">
        <v>32</v>
      </c>
      <c r="J26" s="1" t="s">
        <v>33</v>
      </c>
    </row>
    <row r="27" ht="18" customHeight="1">
      <c r="B27" s="17">
        <v>46193</v>
      </c>
      <c r="C27" s="18" t="s">
        <v>37</v>
      </c>
      <c r="D27" s="1"/>
      <c r="E27" s="6">
        <v>40.9</v>
      </c>
      <c r="F27" s="1"/>
      <c r="G27" s="1" t="s">
        <v>21</v>
      </c>
      <c r="H27" s="1" t="s">
        <v>22</v>
      </c>
      <c r="I27" s="1" t="s">
        <v>32</v>
      </c>
      <c r="J27" s="1" t="s">
        <v>33</v>
      </c>
    </row>
    <row r="28" ht="18" customHeight="1">
      <c r="B28" s="17">
        <v>46192</v>
      </c>
      <c r="C28" s="18" t="s">
        <v>29</v>
      </c>
      <c r="D28" s="1"/>
      <c r="E28" s="6">
        <v>35.94</v>
      </c>
      <c r="F28" s="1"/>
      <c r="G28" s="1" t="s">
        <v>21</v>
      </c>
      <c r="H28" s="1" t="s">
        <v>22</v>
      </c>
      <c r="I28" s="1" t="s">
        <v>23</v>
      </c>
      <c r="J28" s="1" t="s">
        <v>27</v>
      </c>
    </row>
    <row r="29" ht="18" customHeight="1">
      <c r="B29" s="17">
        <v>46192</v>
      </c>
      <c r="C29" s="18" t="s">
        <v>38</v>
      </c>
      <c r="D29" s="1"/>
      <c r="E29" s="6">
        <v>244.96</v>
      </c>
      <c r="F29" s="1"/>
      <c r="G29" s="1" t="s">
        <v>21</v>
      </c>
      <c r="H29" s="1" t="s">
        <v>22</v>
      </c>
      <c r="I29" s="1" t="s">
        <v>23</v>
      </c>
      <c r="J29" s="1" t="s">
        <v>27</v>
      </c>
    </row>
    <row r="30" ht="18" customHeight="1">
      <c r="B30" s="17">
        <v>46191</v>
      </c>
      <c r="C30" s="18" t="s">
        <v>29</v>
      </c>
      <c r="D30" s="1"/>
      <c r="E30" s="6">
        <v>42.68</v>
      </c>
      <c r="F30" s="1"/>
      <c r="G30" s="1" t="s">
        <v>21</v>
      </c>
      <c r="H30" s="1" t="s">
        <v>22</v>
      </c>
      <c r="I30" s="1" t="s">
        <v>23</v>
      </c>
      <c r="J30" s="1" t="s">
        <v>27</v>
      </c>
    </row>
    <row r="31" ht="18" customHeight="1">
      <c r="B31" s="17">
        <v>46191</v>
      </c>
      <c r="C31" s="18" t="s">
        <v>39</v>
      </c>
      <c r="D31" s="1"/>
      <c r="E31" s="6">
        <v>47.14</v>
      </c>
      <c r="F31" s="1"/>
      <c r="G31" s="1" t="s">
        <v>21</v>
      </c>
      <c r="H31" s="1" t="s">
        <v>22</v>
      </c>
      <c r="I31" s="1" t="s">
        <v>23</v>
      </c>
      <c r="J31" s="1" t="s">
        <v>27</v>
      </c>
    </row>
    <row r="32" ht="18" customHeight="1">
      <c r="B32" s="9">
        <v>46191</v>
      </c>
      <c r="C32" s="10" t="s">
        <v>40</v>
      </c>
      <c r="D32" s="11"/>
      <c r="E32" s="12">
        <v>-52.5</v>
      </c>
      <c r="F32" s="11"/>
      <c r="G32" s="11" t="s">
        <v>21</v>
      </c>
      <c r="H32" s="11" t="s">
        <v>22</v>
      </c>
      <c r="I32" s="11" t="s">
        <v>23</v>
      </c>
      <c r="J32" s="11" t="s">
        <v>24</v>
      </c>
    </row>
    <row r="33" ht="28" customHeight="1">
      <c r="B33" s="17">
        <v>46191</v>
      </c>
      <c r="C33" s="18" t="s">
        <v>41</v>
      </c>
      <c r="D33" s="1"/>
      <c r="E33" s="6">
        <v>135.3</v>
      </c>
      <c r="F33" s="19" t="s">
        <v>42</v>
      </c>
      <c r="G33" s="1" t="s">
        <v>21</v>
      </c>
      <c r="H33" s="1" t="s">
        <v>22</v>
      </c>
      <c r="I33" s="1" t="s">
        <v>32</v>
      </c>
      <c r="J33" s="1" t="s">
        <v>33</v>
      </c>
    </row>
    <row r="34" ht="38" customHeight="1">
      <c r="B34" s="17">
        <v>46191</v>
      </c>
      <c r="C34" s="18" t="s">
        <v>43</v>
      </c>
      <c r="D34" s="1"/>
      <c r="E34" s="6">
        <v>4.74</v>
      </c>
      <c r="F34" s="1"/>
      <c r="G34" s="1" t="s">
        <v>21</v>
      </c>
      <c r="H34" s="1" t="s">
        <v>22</v>
      </c>
      <c r="I34" s="1" t="s">
        <v>32</v>
      </c>
      <c r="J34" s="1" t="s">
        <v>33</v>
      </c>
    </row>
    <row r="35" ht="18" customHeight="1">
      <c r="B35" s="17">
        <v>46191</v>
      </c>
      <c r="C35" s="18" t="s">
        <v>35</v>
      </c>
      <c r="D35" s="1"/>
      <c r="E35" s="6">
        <v>137.94</v>
      </c>
      <c r="F35" s="1"/>
      <c r="G35" s="1" t="s">
        <v>21</v>
      </c>
      <c r="H35" s="1" t="s">
        <v>22</v>
      </c>
      <c r="I35" s="1" t="s">
        <v>32</v>
      </c>
      <c r="J35" s="1" t="s">
        <v>33</v>
      </c>
    </row>
    <row r="36" ht="28" customHeight="1">
      <c r="B36" s="17">
        <v>46190</v>
      </c>
      <c r="C36" s="18" t="s">
        <v>44</v>
      </c>
      <c r="D36" s="1"/>
      <c r="E36" s="6">
        <v>112.53</v>
      </c>
      <c r="F36" s="19" t="s">
        <v>45</v>
      </c>
      <c r="G36" s="1" t="s">
        <v>21</v>
      </c>
      <c r="H36" s="1" t="s">
        <v>22</v>
      </c>
      <c r="I36" s="1" t="s">
        <v>23</v>
      </c>
      <c r="J36" s="1" t="s">
        <v>27</v>
      </c>
    </row>
    <row r="37" ht="18" customHeight="1">
      <c r="B37" s="17">
        <v>46190</v>
      </c>
      <c r="C37" s="18" t="s">
        <v>46</v>
      </c>
      <c r="D37" s="1"/>
      <c r="E37" s="6">
        <v>3.94</v>
      </c>
      <c r="F37" s="1"/>
      <c r="G37" s="1" t="s">
        <v>21</v>
      </c>
      <c r="H37" s="1" t="s">
        <v>22</v>
      </c>
      <c r="I37" s="1" t="s">
        <v>23</v>
      </c>
      <c r="J37" s="1" t="s">
        <v>27</v>
      </c>
    </row>
    <row r="38" ht="28" customHeight="1">
      <c r="B38" s="17">
        <v>46190</v>
      </c>
      <c r="C38" s="18" t="s">
        <v>41</v>
      </c>
      <c r="D38" s="1"/>
      <c r="E38" s="6">
        <v>53.42</v>
      </c>
      <c r="F38" s="19" t="s">
        <v>47</v>
      </c>
      <c r="G38" s="1" t="s">
        <v>21</v>
      </c>
      <c r="H38" s="1" t="s">
        <v>22</v>
      </c>
      <c r="I38" s="1" t="s">
        <v>32</v>
      </c>
      <c r="J38" s="1" t="s">
        <v>33</v>
      </c>
    </row>
    <row r="39" ht="38" customHeight="1">
      <c r="B39" s="17">
        <v>46190</v>
      </c>
      <c r="C39" s="18" t="s">
        <v>43</v>
      </c>
      <c r="D39" s="1"/>
      <c r="E39" s="6">
        <v>1.87</v>
      </c>
      <c r="F39" s="1"/>
      <c r="G39" s="1" t="s">
        <v>21</v>
      </c>
      <c r="H39" s="1" t="s">
        <v>22</v>
      </c>
      <c r="I39" s="1" t="s">
        <v>32</v>
      </c>
      <c r="J39" s="1" t="s">
        <v>33</v>
      </c>
    </row>
    <row r="40" ht="28" customHeight="1">
      <c r="B40" s="17">
        <v>46190</v>
      </c>
      <c r="C40" s="18" t="s">
        <v>48</v>
      </c>
      <c r="D40" s="1"/>
      <c r="E40" s="6">
        <v>90.44</v>
      </c>
      <c r="F40" s="19" t="s">
        <v>49</v>
      </c>
      <c r="G40" s="1" t="s">
        <v>21</v>
      </c>
      <c r="H40" s="1" t="s">
        <v>22</v>
      </c>
      <c r="I40" s="1" t="s">
        <v>23</v>
      </c>
      <c r="J40" s="1" t="s">
        <v>27</v>
      </c>
    </row>
    <row r="41" ht="18" customHeight="1">
      <c r="B41" s="17">
        <v>46190</v>
      </c>
      <c r="C41" s="18" t="s">
        <v>50</v>
      </c>
      <c r="D41" s="1"/>
      <c r="E41" s="6">
        <v>3.17</v>
      </c>
      <c r="F41" s="1"/>
      <c r="G41" s="1" t="s">
        <v>21</v>
      </c>
      <c r="H41" s="1" t="s">
        <v>22</v>
      </c>
      <c r="I41" s="1" t="s">
        <v>23</v>
      </c>
      <c r="J41" s="1" t="s">
        <v>27</v>
      </c>
    </row>
    <row r="42" ht="28" customHeight="1">
      <c r="B42" s="17">
        <v>46190</v>
      </c>
      <c r="C42" s="18" t="s">
        <v>51</v>
      </c>
      <c r="D42" s="1"/>
      <c r="E42" s="6">
        <v>248.56</v>
      </c>
      <c r="F42" s="19" t="s">
        <v>52</v>
      </c>
      <c r="G42" s="1" t="s">
        <v>21</v>
      </c>
      <c r="H42" s="1" t="s">
        <v>22</v>
      </c>
      <c r="I42" s="1" t="s">
        <v>23</v>
      </c>
      <c r="J42" s="1" t="s">
        <v>27</v>
      </c>
    </row>
    <row r="43" ht="18" customHeight="1">
      <c r="B43" s="17">
        <v>46190</v>
      </c>
      <c r="C43" s="18" t="s">
        <v>53</v>
      </c>
      <c r="D43" s="1"/>
      <c r="E43" s="6">
        <v>8.7</v>
      </c>
      <c r="F43" s="1"/>
      <c r="G43" s="1" t="s">
        <v>21</v>
      </c>
      <c r="H43" s="1" t="s">
        <v>22</v>
      </c>
      <c r="I43" s="1" t="s">
        <v>23</v>
      </c>
      <c r="J43" s="1" t="s">
        <v>27</v>
      </c>
    </row>
    <row r="44" ht="28" customHeight="1">
      <c r="B44" s="17">
        <v>46189</v>
      </c>
      <c r="C44" s="18" t="s">
        <v>54</v>
      </c>
      <c r="D44" s="1"/>
      <c r="E44" s="6">
        <v>206.71</v>
      </c>
      <c r="F44" s="19" t="s">
        <v>55</v>
      </c>
      <c r="G44" s="1" t="s">
        <v>21</v>
      </c>
      <c r="H44" s="1" t="s">
        <v>22</v>
      </c>
      <c r="I44" s="1" t="s">
        <v>23</v>
      </c>
      <c r="J44" s="1" t="s">
        <v>27</v>
      </c>
    </row>
    <row r="45" ht="38" customHeight="1">
      <c r="B45" s="17">
        <v>46189</v>
      </c>
      <c r="C45" s="18" t="s">
        <v>56</v>
      </c>
      <c r="D45" s="1"/>
      <c r="E45" s="6">
        <v>7.23</v>
      </c>
      <c r="F45" s="1"/>
      <c r="G45" s="1" t="s">
        <v>21</v>
      </c>
      <c r="H45" s="1" t="s">
        <v>22</v>
      </c>
      <c r="I45" s="1" t="s">
        <v>23</v>
      </c>
      <c r="J45" s="1" t="s">
        <v>27</v>
      </c>
    </row>
    <row r="46" ht="28" customHeight="1">
      <c r="B46" s="17">
        <v>46189</v>
      </c>
      <c r="C46" s="18" t="s">
        <v>57</v>
      </c>
      <c r="D46" s="1"/>
      <c r="E46" s="6">
        <v>39.56</v>
      </c>
      <c r="F46" s="19" t="s">
        <v>58</v>
      </c>
      <c r="G46" s="1" t="s">
        <v>21</v>
      </c>
      <c r="H46" s="1" t="s">
        <v>22</v>
      </c>
      <c r="I46" s="1" t="s">
        <v>23</v>
      </c>
      <c r="J46" s="1" t="s">
        <v>27</v>
      </c>
    </row>
    <row r="47" ht="18" customHeight="1">
      <c r="B47" s="17">
        <v>46189</v>
      </c>
      <c r="C47" s="18" t="s">
        <v>59</v>
      </c>
      <c r="D47" s="1"/>
      <c r="E47" s="6">
        <v>1.38</v>
      </c>
      <c r="F47" s="1"/>
      <c r="G47" s="1" t="s">
        <v>21</v>
      </c>
      <c r="H47" s="1" t="s">
        <v>22</v>
      </c>
      <c r="I47" s="1" t="s">
        <v>23</v>
      </c>
      <c r="J47" s="1" t="s">
        <v>27</v>
      </c>
    </row>
    <row r="48" ht="28" customHeight="1">
      <c r="B48" s="17">
        <v>46189</v>
      </c>
      <c r="C48" s="18" t="s">
        <v>60</v>
      </c>
      <c r="D48" s="1"/>
      <c r="E48" s="6">
        <v>91.2</v>
      </c>
      <c r="F48" s="19" t="s">
        <v>61</v>
      </c>
      <c r="G48" s="1" t="s">
        <v>21</v>
      </c>
      <c r="H48" s="1" t="s">
        <v>22</v>
      </c>
      <c r="I48" s="1" t="s">
        <v>23</v>
      </c>
      <c r="J48" s="1" t="s">
        <v>27</v>
      </c>
    </row>
    <row r="49" ht="18" customHeight="1">
      <c r="B49" s="17">
        <v>46189</v>
      </c>
      <c r="C49" s="18" t="s">
        <v>62</v>
      </c>
      <c r="D49" s="1"/>
      <c r="E49" s="6">
        <v>3.19</v>
      </c>
      <c r="F49" s="1"/>
      <c r="G49" s="1" t="s">
        <v>21</v>
      </c>
      <c r="H49" s="1" t="s">
        <v>22</v>
      </c>
      <c r="I49" s="1" t="s">
        <v>23</v>
      </c>
      <c r="J49" s="1" t="s">
        <v>27</v>
      </c>
    </row>
    <row r="50" ht="28" customHeight="1">
      <c r="B50" s="17">
        <v>46189</v>
      </c>
      <c r="C50" s="18" t="s">
        <v>48</v>
      </c>
      <c r="D50" s="1"/>
      <c r="E50" s="6">
        <v>99.12</v>
      </c>
      <c r="F50" s="19" t="s">
        <v>63</v>
      </c>
      <c r="G50" s="1" t="s">
        <v>21</v>
      </c>
      <c r="H50" s="1" t="s">
        <v>22</v>
      </c>
      <c r="I50" s="1" t="s">
        <v>23</v>
      </c>
      <c r="J50" s="1" t="s">
        <v>27</v>
      </c>
    </row>
    <row r="51" ht="18" customHeight="1">
      <c r="B51" s="17">
        <v>46189</v>
      </c>
      <c r="C51" s="18" t="s">
        <v>50</v>
      </c>
      <c r="D51" s="1"/>
      <c r="E51" s="6">
        <v>3.47</v>
      </c>
      <c r="F51" s="1"/>
      <c r="G51" s="1" t="s">
        <v>21</v>
      </c>
      <c r="H51" s="1" t="s">
        <v>22</v>
      </c>
      <c r="I51" s="1" t="s">
        <v>23</v>
      </c>
      <c r="J51" s="1" t="s">
        <v>27</v>
      </c>
    </row>
    <row r="52" ht="18" customHeight="1">
      <c r="B52" s="17">
        <v>46189</v>
      </c>
      <c r="C52" s="18" t="s">
        <v>64</v>
      </c>
      <c r="D52" s="1"/>
      <c r="E52" s="6">
        <v>120</v>
      </c>
      <c r="F52" s="1"/>
      <c r="G52" s="1" t="s">
        <v>21</v>
      </c>
      <c r="H52" s="1" t="s">
        <v>22</v>
      </c>
      <c r="I52" s="1" t="s">
        <v>32</v>
      </c>
      <c r="J52" s="1" t="s">
        <v>33</v>
      </c>
    </row>
    <row r="53" ht="28" customHeight="1">
      <c r="B53" s="17">
        <v>46188</v>
      </c>
      <c r="C53" s="18" t="s">
        <v>65</v>
      </c>
      <c r="D53" s="1"/>
      <c r="E53" s="6">
        <v>128.16</v>
      </c>
      <c r="F53" s="19" t="s">
        <v>66</v>
      </c>
      <c r="G53" s="1" t="s">
        <v>21</v>
      </c>
      <c r="H53" s="1" t="s">
        <v>22</v>
      </c>
      <c r="I53" s="1" t="s">
        <v>23</v>
      </c>
      <c r="J53" s="1" t="s">
        <v>27</v>
      </c>
    </row>
    <row r="54" ht="18" customHeight="1">
      <c r="B54" s="17">
        <v>46188</v>
      </c>
      <c r="C54" s="18" t="s">
        <v>67</v>
      </c>
      <c r="D54" s="1"/>
      <c r="E54" s="6">
        <v>4.49</v>
      </c>
      <c r="F54" s="1"/>
      <c r="G54" s="1" t="s">
        <v>21</v>
      </c>
      <c r="H54" s="1" t="s">
        <v>22</v>
      </c>
      <c r="I54" s="1" t="s">
        <v>23</v>
      </c>
      <c r="J54" s="1" t="s">
        <v>27</v>
      </c>
    </row>
    <row r="55" ht="28" customHeight="1">
      <c r="B55" s="17">
        <v>46188</v>
      </c>
      <c r="C55" s="18" t="s">
        <v>48</v>
      </c>
      <c r="D55" s="1"/>
      <c r="E55" s="6">
        <v>1275.99</v>
      </c>
      <c r="F55" s="19" t="s">
        <v>68</v>
      </c>
      <c r="G55" s="1" t="s">
        <v>21</v>
      </c>
      <c r="H55" s="1" t="s">
        <v>22</v>
      </c>
      <c r="I55" s="1" t="s">
        <v>23</v>
      </c>
      <c r="J55" s="1" t="s">
        <v>27</v>
      </c>
    </row>
    <row r="56" ht="18" customHeight="1">
      <c r="B56" s="17">
        <v>46188</v>
      </c>
      <c r="C56" s="18" t="s">
        <v>50</v>
      </c>
      <c r="D56" s="1"/>
      <c r="E56" s="6">
        <v>44.66</v>
      </c>
      <c r="F56" s="1"/>
      <c r="G56" s="1" t="s">
        <v>21</v>
      </c>
      <c r="H56" s="1" t="s">
        <v>22</v>
      </c>
      <c r="I56" s="1" t="s">
        <v>23</v>
      </c>
      <c r="J56" s="1" t="s">
        <v>27</v>
      </c>
    </row>
    <row r="57" ht="28" customHeight="1">
      <c r="B57" s="17">
        <v>46188</v>
      </c>
      <c r="C57" s="18" t="s">
        <v>69</v>
      </c>
      <c r="D57" s="1"/>
      <c r="E57" s="6">
        <v>178.68</v>
      </c>
      <c r="F57" s="19" t="s">
        <v>70</v>
      </c>
      <c r="G57" s="1" t="s">
        <v>21</v>
      </c>
      <c r="H57" s="1" t="s">
        <v>22</v>
      </c>
      <c r="I57" s="1" t="s">
        <v>23</v>
      </c>
      <c r="J57" s="1" t="s">
        <v>27</v>
      </c>
    </row>
    <row r="58" ht="18" customHeight="1">
      <c r="B58" s="17">
        <v>46188</v>
      </c>
      <c r="C58" s="18" t="s">
        <v>71</v>
      </c>
      <c r="D58" s="1"/>
      <c r="E58" s="6">
        <v>6.25</v>
      </c>
      <c r="F58" s="1"/>
      <c r="G58" s="1" t="s">
        <v>21</v>
      </c>
      <c r="H58" s="1" t="s">
        <v>22</v>
      </c>
      <c r="I58" s="1" t="s">
        <v>23</v>
      </c>
      <c r="J58" s="1" t="s">
        <v>27</v>
      </c>
    </row>
    <row r="59" ht="28" customHeight="1">
      <c r="B59" s="17">
        <v>46188</v>
      </c>
      <c r="C59" s="18" t="s">
        <v>72</v>
      </c>
      <c r="D59" s="1"/>
      <c r="E59" s="6">
        <v>23.76</v>
      </c>
      <c r="F59" s="19" t="s">
        <v>73</v>
      </c>
      <c r="G59" s="1" t="s">
        <v>21</v>
      </c>
      <c r="H59" s="1" t="s">
        <v>22</v>
      </c>
      <c r="I59" s="1" t="s">
        <v>23</v>
      </c>
      <c r="J59" s="1" t="s">
        <v>27</v>
      </c>
    </row>
    <row r="60" ht="18" customHeight="1">
      <c r="B60" s="17">
        <v>46188</v>
      </c>
      <c r="C60" s="18" t="s">
        <v>74</v>
      </c>
      <c r="D60" s="1"/>
      <c r="E60" s="6">
        <v>0.83</v>
      </c>
      <c r="F60" s="1"/>
      <c r="G60" s="1" t="s">
        <v>21</v>
      </c>
      <c r="H60" s="1" t="s">
        <v>22</v>
      </c>
      <c r="I60" s="1" t="s">
        <v>23</v>
      </c>
      <c r="J60" s="1" t="s">
        <v>27</v>
      </c>
    </row>
    <row r="61" ht="28" customHeight="1">
      <c r="B61" s="17">
        <v>46188</v>
      </c>
      <c r="C61" s="18" t="s">
        <v>75</v>
      </c>
      <c r="D61" s="1"/>
      <c r="E61" s="6">
        <v>196.35</v>
      </c>
      <c r="F61" s="19" t="s">
        <v>76</v>
      </c>
      <c r="G61" s="1" t="s">
        <v>21</v>
      </c>
      <c r="H61" s="1" t="s">
        <v>22</v>
      </c>
      <c r="I61" s="1" t="s">
        <v>23</v>
      </c>
      <c r="J61" s="1" t="s">
        <v>27</v>
      </c>
    </row>
    <row r="62" ht="18" customHeight="1">
      <c r="B62" s="17">
        <v>46188</v>
      </c>
      <c r="C62" s="18" t="s">
        <v>77</v>
      </c>
      <c r="D62" s="1"/>
      <c r="E62" s="6">
        <v>6.87</v>
      </c>
      <c r="F62" s="1"/>
      <c r="G62" s="1" t="s">
        <v>21</v>
      </c>
      <c r="H62" s="1" t="s">
        <v>22</v>
      </c>
      <c r="I62" s="1" t="s">
        <v>23</v>
      </c>
      <c r="J62" s="1" t="s">
        <v>27</v>
      </c>
    </row>
    <row r="63" ht="18" customHeight="1">
      <c r="B63" s="17">
        <v>46188</v>
      </c>
      <c r="C63" s="18" t="s">
        <v>35</v>
      </c>
      <c r="D63" s="1"/>
      <c r="E63" s="6">
        <v>178.97</v>
      </c>
      <c r="F63" s="1"/>
      <c r="G63" s="1" t="s">
        <v>21</v>
      </c>
      <c r="H63" s="1" t="s">
        <v>22</v>
      </c>
      <c r="I63" s="1" t="s">
        <v>32</v>
      </c>
      <c r="J63" s="1" t="s">
        <v>33</v>
      </c>
    </row>
    <row r="64" ht="18" customHeight="1">
      <c r="B64" s="17">
        <v>46188</v>
      </c>
      <c r="C64" s="18" t="s">
        <v>78</v>
      </c>
      <c r="D64" s="1"/>
      <c r="E64" s="6">
        <v>40</v>
      </c>
      <c r="F64" s="1"/>
      <c r="G64" s="1" t="s">
        <v>21</v>
      </c>
      <c r="H64" s="1" t="s">
        <v>22</v>
      </c>
      <c r="I64" s="1" t="s">
        <v>32</v>
      </c>
      <c r="J64" s="1" t="s">
        <v>33</v>
      </c>
    </row>
    <row r="65" ht="18" customHeight="1">
      <c r="B65" s="17">
        <v>46187</v>
      </c>
      <c r="C65" s="18" t="s">
        <v>79</v>
      </c>
      <c r="D65" s="1"/>
      <c r="E65" s="6">
        <v>8.5</v>
      </c>
      <c r="F65" s="1"/>
      <c r="G65" s="1" t="s">
        <v>21</v>
      </c>
      <c r="H65" s="1" t="s">
        <v>22</v>
      </c>
      <c r="I65" s="1" t="s">
        <v>23</v>
      </c>
      <c r="J65" s="1" t="s">
        <v>27</v>
      </c>
    </row>
    <row r="66" ht="18" customHeight="1">
      <c r="B66" s="17">
        <v>46187</v>
      </c>
      <c r="C66" s="18" t="s">
        <v>38</v>
      </c>
      <c r="D66" s="1"/>
      <c r="E66" s="6">
        <v>229.68</v>
      </c>
      <c r="F66" s="1"/>
      <c r="G66" s="1" t="s">
        <v>21</v>
      </c>
      <c r="H66" s="1" t="s">
        <v>22</v>
      </c>
      <c r="I66" s="1" t="s">
        <v>23</v>
      </c>
      <c r="J66" s="1" t="s">
        <v>27</v>
      </c>
    </row>
    <row r="67" ht="18" customHeight="1">
      <c r="B67" s="17">
        <v>46187</v>
      </c>
      <c r="C67" s="18" t="s">
        <v>80</v>
      </c>
      <c r="D67" s="1"/>
      <c r="E67" s="6">
        <v>29.58</v>
      </c>
      <c r="F67" s="1"/>
      <c r="G67" s="1" t="s">
        <v>21</v>
      </c>
      <c r="H67" s="1" t="s">
        <v>22</v>
      </c>
      <c r="I67" s="1" t="s">
        <v>23</v>
      </c>
      <c r="J67" s="1" t="s">
        <v>27</v>
      </c>
    </row>
    <row r="68" ht="18" customHeight="1">
      <c r="B68" s="17">
        <v>46187</v>
      </c>
      <c r="C68" s="18" t="s">
        <v>29</v>
      </c>
      <c r="D68" s="1"/>
      <c r="E68" s="6">
        <v>90.47</v>
      </c>
      <c r="F68" s="1"/>
      <c r="G68" s="1" t="s">
        <v>21</v>
      </c>
      <c r="H68" s="1" t="s">
        <v>22</v>
      </c>
      <c r="I68" s="1" t="s">
        <v>23</v>
      </c>
      <c r="J68" s="1" t="s">
        <v>27</v>
      </c>
    </row>
    <row r="69" ht="18" customHeight="1">
      <c r="B69" s="17">
        <v>46186</v>
      </c>
      <c r="C69" s="18" t="s">
        <v>38</v>
      </c>
      <c r="D69" s="1"/>
      <c r="E69" s="6">
        <v>494.46</v>
      </c>
      <c r="F69" s="1"/>
      <c r="G69" s="1" t="s">
        <v>21</v>
      </c>
      <c r="H69" s="1" t="s">
        <v>22</v>
      </c>
      <c r="I69" s="1" t="s">
        <v>23</v>
      </c>
      <c r="J69" s="1" t="s">
        <v>27</v>
      </c>
    </row>
    <row r="70" ht="18" customHeight="1">
      <c r="B70" s="17">
        <v>46186</v>
      </c>
      <c r="C70" s="18" t="s">
        <v>81</v>
      </c>
      <c r="D70" s="1"/>
      <c r="E70" s="6">
        <v>158.96</v>
      </c>
      <c r="F70" s="1"/>
      <c r="G70" s="1" t="s">
        <v>21</v>
      </c>
      <c r="H70" s="1" t="s">
        <v>22</v>
      </c>
      <c r="I70" s="1" t="s">
        <v>32</v>
      </c>
      <c r="J70" s="1" t="s">
        <v>33</v>
      </c>
    </row>
    <row r="71" ht="18" customHeight="1">
      <c r="B71" s="17">
        <v>46185</v>
      </c>
      <c r="C71" s="18" t="s">
        <v>82</v>
      </c>
      <c r="D71" s="1"/>
      <c r="E71" s="6">
        <v>185.1</v>
      </c>
      <c r="F71" s="1"/>
      <c r="G71" s="1" t="s">
        <v>21</v>
      </c>
      <c r="H71" s="1" t="s">
        <v>22</v>
      </c>
      <c r="I71" s="1" t="s">
        <v>32</v>
      </c>
      <c r="J71" s="1" t="s">
        <v>33</v>
      </c>
    </row>
    <row r="72" ht="18" customHeight="1">
      <c r="B72" s="17">
        <v>46185</v>
      </c>
      <c r="C72" s="18" t="s">
        <v>38</v>
      </c>
      <c r="D72" s="1"/>
      <c r="E72" s="6">
        <v>266.05</v>
      </c>
      <c r="F72" s="1"/>
      <c r="G72" s="1" t="s">
        <v>21</v>
      </c>
      <c r="H72" s="1" t="s">
        <v>22</v>
      </c>
      <c r="I72" s="1" t="s">
        <v>23</v>
      </c>
      <c r="J72" s="1" t="s">
        <v>27</v>
      </c>
    </row>
    <row r="73" ht="18" customHeight="1">
      <c r="B73" s="17">
        <v>46185</v>
      </c>
      <c r="C73" s="18" t="s">
        <v>83</v>
      </c>
      <c r="D73" s="1"/>
      <c r="E73" s="6">
        <v>246.76</v>
      </c>
      <c r="F73" s="1"/>
      <c r="G73" s="1" t="s">
        <v>21</v>
      </c>
      <c r="H73" s="1" t="s">
        <v>22</v>
      </c>
      <c r="I73" s="1" t="s">
        <v>23</v>
      </c>
      <c r="J73" s="1" t="s">
        <v>27</v>
      </c>
    </row>
    <row r="74" ht="18" customHeight="1">
      <c r="B74" s="17">
        <v>46185</v>
      </c>
      <c r="C74" s="18" t="s">
        <v>84</v>
      </c>
      <c r="D74" s="1"/>
      <c r="E74" s="6">
        <v>26.9</v>
      </c>
      <c r="F74" s="1"/>
      <c r="G74" s="1" t="s">
        <v>21</v>
      </c>
      <c r="H74" s="1" t="s">
        <v>22</v>
      </c>
      <c r="I74" s="1" t="s">
        <v>32</v>
      </c>
      <c r="J74" s="1" t="s">
        <v>33</v>
      </c>
    </row>
    <row r="75" ht="18" customHeight="1">
      <c r="B75" s="17">
        <v>46185</v>
      </c>
      <c r="C75" s="18" t="s">
        <v>85</v>
      </c>
      <c r="D75" s="1"/>
      <c r="E75" s="6">
        <v>178.25</v>
      </c>
      <c r="F75" s="1"/>
      <c r="G75" s="1" t="s">
        <v>21</v>
      </c>
      <c r="H75" s="1" t="s">
        <v>22</v>
      </c>
      <c r="I75" s="1" t="s">
        <v>86</v>
      </c>
      <c r="J75" s="1" t="s">
        <v>87</v>
      </c>
    </row>
    <row r="76" ht="18" customHeight="1">
      <c r="B76" s="17">
        <v>46185</v>
      </c>
      <c r="C76" s="18" t="s">
        <v>88</v>
      </c>
      <c r="D76" s="1"/>
      <c r="E76" s="6">
        <v>199.99</v>
      </c>
      <c r="F76" s="1"/>
      <c r="G76" s="1" t="s">
        <v>21</v>
      </c>
      <c r="H76" s="1" t="s">
        <v>22</v>
      </c>
      <c r="I76" s="1" t="s">
        <v>32</v>
      </c>
      <c r="J76" s="1" t="s">
        <v>33</v>
      </c>
    </row>
    <row r="77" ht="18" customHeight="1">
      <c r="B77" s="17">
        <v>46182</v>
      </c>
      <c r="C77" s="18" t="s">
        <v>89</v>
      </c>
      <c r="D77" s="1"/>
      <c r="E77" s="6">
        <v>59.9</v>
      </c>
      <c r="F77" s="1"/>
      <c r="G77" s="1" t="s">
        <v>21</v>
      </c>
      <c r="H77" s="1" t="s">
        <v>22</v>
      </c>
      <c r="I77" s="1" t="s">
        <v>32</v>
      </c>
      <c r="J77" s="1" t="s">
        <v>33</v>
      </c>
    </row>
    <row r="78" ht="18" customHeight="1">
      <c r="B78" s="17">
        <v>46181</v>
      </c>
      <c r="C78" s="18" t="s">
        <v>90</v>
      </c>
      <c r="D78" s="1"/>
      <c r="E78" s="6">
        <v>299</v>
      </c>
      <c r="F78" s="1"/>
      <c r="G78" s="1" t="s">
        <v>21</v>
      </c>
      <c r="H78" s="1" t="s">
        <v>22</v>
      </c>
      <c r="I78" s="1" t="s">
        <v>23</v>
      </c>
      <c r="J78" s="1" t="s">
        <v>27</v>
      </c>
    </row>
    <row r="79" ht="18" customHeight="1">
      <c r="B79" s="17">
        <v>46180</v>
      </c>
      <c r="C79" s="18" t="s">
        <v>29</v>
      </c>
      <c r="D79" s="1"/>
      <c r="E79" s="6">
        <v>16.99</v>
      </c>
      <c r="F79" s="1"/>
      <c r="G79" s="1" t="s">
        <v>21</v>
      </c>
      <c r="H79" s="1" t="s">
        <v>22</v>
      </c>
      <c r="I79" s="1" t="s">
        <v>23</v>
      </c>
      <c r="J79" s="1" t="s">
        <v>27</v>
      </c>
    </row>
    <row r="80" ht="18" customHeight="1">
      <c r="B80" s="17">
        <v>46180</v>
      </c>
      <c r="C80" s="18" t="s">
        <v>91</v>
      </c>
      <c r="D80" s="1"/>
      <c r="E80" s="6">
        <v>244.2</v>
      </c>
      <c r="F80" s="1"/>
      <c r="G80" s="1" t="s">
        <v>21</v>
      </c>
      <c r="H80" s="1" t="s">
        <v>22</v>
      </c>
      <c r="I80" s="1" t="s">
        <v>23</v>
      </c>
      <c r="J80" s="1" t="s">
        <v>27</v>
      </c>
    </row>
    <row r="81" ht="18" customHeight="1">
      <c r="B81" s="17">
        <v>46179</v>
      </c>
      <c r="C81" s="18" t="s">
        <v>92</v>
      </c>
      <c r="D81" s="1"/>
      <c r="E81" s="6">
        <v>102.69</v>
      </c>
      <c r="F81" s="1"/>
      <c r="G81" s="1" t="s">
        <v>21</v>
      </c>
      <c r="H81" s="1" t="s">
        <v>22</v>
      </c>
      <c r="I81" s="1" t="s">
        <v>23</v>
      </c>
      <c r="J81" s="1" t="s">
        <v>27</v>
      </c>
    </row>
    <row r="82" ht="18" customHeight="1">
      <c r="B82" s="17">
        <v>46177</v>
      </c>
      <c r="C82" s="18" t="s">
        <v>93</v>
      </c>
      <c r="D82" s="1"/>
      <c r="E82" s="6">
        <v>34.49</v>
      </c>
      <c r="F82" s="1"/>
      <c r="G82" s="1" t="s">
        <v>21</v>
      </c>
      <c r="H82" s="1" t="s">
        <v>22</v>
      </c>
      <c r="I82" s="1" t="s">
        <v>32</v>
      </c>
      <c r="J82" s="1" t="s">
        <v>33</v>
      </c>
    </row>
    <row r="83" ht="18" customHeight="1">
      <c r="B83" s="17">
        <v>46176</v>
      </c>
      <c r="C83" s="18" t="s">
        <v>94</v>
      </c>
      <c r="D83" s="1"/>
      <c r="E83" s="6">
        <v>227.64</v>
      </c>
      <c r="F83" s="1"/>
      <c r="G83" s="1" t="s">
        <v>21</v>
      </c>
      <c r="H83" s="1" t="s">
        <v>22</v>
      </c>
      <c r="I83" s="1" t="s">
        <v>23</v>
      </c>
      <c r="J83" s="1" t="s">
        <v>27</v>
      </c>
    </row>
    <row r="84" ht="18" customHeight="1">
      <c r="B84" s="17">
        <v>46176</v>
      </c>
      <c r="C84" s="18" t="s">
        <v>38</v>
      </c>
      <c r="D84" s="1"/>
      <c r="E84" s="6">
        <v>445.48</v>
      </c>
      <c r="F84" s="1"/>
      <c r="G84" s="1" t="s">
        <v>21</v>
      </c>
      <c r="H84" s="1" t="s">
        <v>22</v>
      </c>
      <c r="I84" s="1" t="s">
        <v>23</v>
      </c>
      <c r="J84" s="1" t="s">
        <v>27</v>
      </c>
    </row>
    <row r="85" ht="18" customHeight="1">
      <c r="B85" s="17">
        <v>46176</v>
      </c>
      <c r="C85" s="18" t="s">
        <v>95</v>
      </c>
      <c r="D85" s="1"/>
      <c r="E85" s="6">
        <v>75</v>
      </c>
      <c r="F85" s="1"/>
      <c r="G85" s="1" t="s">
        <v>21</v>
      </c>
      <c r="H85" s="1" t="s">
        <v>22</v>
      </c>
      <c r="I85" s="1" t="s">
        <v>23</v>
      </c>
      <c r="J85" s="1" t="s">
        <v>27</v>
      </c>
    </row>
    <row r="86" ht="18" customHeight="1">
      <c r="B86" s="17">
        <v>46176</v>
      </c>
      <c r="C86" s="18" t="s">
        <v>96</v>
      </c>
      <c r="D86" s="1"/>
      <c r="E86" s="6">
        <v>62.5</v>
      </c>
      <c r="F86" s="1"/>
      <c r="G86" s="1" t="s">
        <v>21</v>
      </c>
      <c r="H86" s="1" t="s">
        <v>22</v>
      </c>
      <c r="I86" s="1" t="s">
        <v>32</v>
      </c>
      <c r="J86" s="1" t="s">
        <v>33</v>
      </c>
    </row>
    <row r="87" ht="18" customHeight="1">
      <c r="B87" s="17">
        <v>46175</v>
      </c>
      <c r="C87" s="18" t="s">
        <v>97</v>
      </c>
      <c r="D87" s="1"/>
      <c r="E87" s="6">
        <v>341.91</v>
      </c>
      <c r="F87" s="1"/>
      <c r="G87" s="1" t="s">
        <v>21</v>
      </c>
      <c r="H87" s="1" t="s">
        <v>22</v>
      </c>
      <c r="I87" s="1" t="s">
        <v>32</v>
      </c>
      <c r="J87" s="1" t="s">
        <v>33</v>
      </c>
    </row>
    <row r="88" ht="18" customHeight="1">
      <c r="B88" s="9">
        <v>46174</v>
      </c>
      <c r="C88" s="10" t="s">
        <v>40</v>
      </c>
      <c r="D88" s="11"/>
      <c r="E88" s="12">
        <v>-52.5</v>
      </c>
      <c r="F88" s="11"/>
      <c r="G88" s="11" t="s">
        <v>21</v>
      </c>
      <c r="H88" s="11" t="s">
        <v>22</v>
      </c>
      <c r="I88" s="11" t="s">
        <v>23</v>
      </c>
      <c r="J88" s="11" t="s">
        <v>24</v>
      </c>
    </row>
    <row r="89" ht="18" customHeight="1">
      <c r="B89" s="17">
        <v>46174</v>
      </c>
      <c r="C89" s="18" t="s">
        <v>98</v>
      </c>
      <c r="D89" s="1"/>
      <c r="E89" s="6">
        <v>512.75</v>
      </c>
      <c r="F89" s="1"/>
      <c r="G89" s="1" t="s">
        <v>21</v>
      </c>
      <c r="H89" s="1" t="s">
        <v>22</v>
      </c>
      <c r="I89" s="1" t="s">
        <v>23</v>
      </c>
      <c r="J89" s="1" t="s">
        <v>24</v>
      </c>
    </row>
    <row r="90" ht="18" customHeight="1">
      <c r="B90" s="17">
        <v>46173</v>
      </c>
      <c r="C90" s="18" t="s">
        <v>99</v>
      </c>
      <c r="D90" s="1"/>
      <c r="E90" s="6">
        <v>151.29</v>
      </c>
      <c r="F90" s="1"/>
      <c r="G90" s="1" t="s">
        <v>21</v>
      </c>
      <c r="H90" s="1" t="s">
        <v>22</v>
      </c>
      <c r="I90" s="1" t="s">
        <v>32</v>
      </c>
      <c r="J90" s="1" t="s">
        <v>33</v>
      </c>
    </row>
    <row r="91" ht="18" customHeight="1">
      <c r="B91" s="17">
        <v>46173</v>
      </c>
      <c r="C91" s="18" t="s">
        <v>100</v>
      </c>
      <c r="D91" s="1"/>
      <c r="E91" s="6">
        <v>55.99</v>
      </c>
      <c r="F91" s="1"/>
      <c r="G91" s="1" t="s">
        <v>21</v>
      </c>
      <c r="H91" s="1" t="s">
        <v>22</v>
      </c>
      <c r="I91" s="1" t="s">
        <v>32</v>
      </c>
      <c r="J91" s="1" t="s">
        <v>33</v>
      </c>
    </row>
    <row r="92" ht="18" customHeight="1">
      <c r="B92" s="17">
        <v>46173</v>
      </c>
      <c r="C92" s="18" t="s">
        <v>101</v>
      </c>
      <c r="D92" s="1"/>
      <c r="E92" s="6">
        <v>2991.74</v>
      </c>
      <c r="F92" s="1"/>
      <c r="G92" s="1" t="s">
        <v>21</v>
      </c>
      <c r="H92" s="1" t="s">
        <v>22</v>
      </c>
      <c r="I92" s="1" t="s">
        <v>86</v>
      </c>
      <c r="J92" s="1" t="s">
        <v>102</v>
      </c>
    </row>
    <row r="93" ht="18" customHeight="1">
      <c r="B93" s="17">
        <v>46173</v>
      </c>
      <c r="C93" s="18" t="s">
        <v>103</v>
      </c>
      <c r="D93" s="1"/>
      <c r="E93" s="6">
        <v>228</v>
      </c>
      <c r="F93" s="1"/>
      <c r="G93" s="1" t="s">
        <v>21</v>
      </c>
      <c r="H93" s="1" t="s">
        <v>22</v>
      </c>
      <c r="I93" s="1" t="s">
        <v>23</v>
      </c>
      <c r="J93" s="1" t="s">
        <v>27</v>
      </c>
    </row>
    <row r="94" ht="18" customHeight="1">
      <c r="B94" s="17">
        <v>46173</v>
      </c>
      <c r="C94" s="18" t="s">
        <v>104</v>
      </c>
      <c r="D94" s="1"/>
      <c r="E94" s="6">
        <v>105</v>
      </c>
      <c r="F94" s="1"/>
      <c r="G94" s="1" t="s">
        <v>21</v>
      </c>
      <c r="H94" s="1" t="s">
        <v>22</v>
      </c>
      <c r="I94" s="1" t="s">
        <v>23</v>
      </c>
      <c r="J94" s="1" t="s">
        <v>24</v>
      </c>
    </row>
    <row r="95" ht="18" customHeight="1">
      <c r="B95" s="17">
        <v>46150</v>
      </c>
      <c r="C95" s="18" t="s">
        <v>105</v>
      </c>
      <c r="D95" s="1" t="s">
        <v>106</v>
      </c>
      <c r="E95" s="6">
        <v>1026.67</v>
      </c>
      <c r="F95" s="1"/>
      <c r="G95" s="1" t="s">
        <v>21</v>
      </c>
      <c r="H95" s="1" t="s">
        <v>22</v>
      </c>
      <c r="I95" s="1" t="s">
        <v>23</v>
      </c>
      <c r="J95" s="1" t="s">
        <v>27</v>
      </c>
    </row>
    <row r="96" ht="18" customHeight="1">
      <c r="B96" s="17">
        <v>46146</v>
      </c>
      <c r="C96" s="18" t="s">
        <v>107</v>
      </c>
      <c r="D96" s="1" t="s">
        <v>108</v>
      </c>
      <c r="E96" s="6">
        <v>6015.05</v>
      </c>
      <c r="F96" s="1"/>
      <c r="G96" s="1" t="s">
        <v>21</v>
      </c>
      <c r="H96" s="1" t="s">
        <v>22</v>
      </c>
      <c r="I96" s="1" t="s">
        <v>23</v>
      </c>
      <c r="J96" s="1" t="s">
        <v>27</v>
      </c>
    </row>
    <row r="97" ht="18" customHeight="1">
      <c r="B97" s="17">
        <v>46075</v>
      </c>
      <c r="C97" s="18" t="s">
        <v>109</v>
      </c>
      <c r="D97" s="1" t="s">
        <v>110</v>
      </c>
      <c r="E97" s="6">
        <v>30</v>
      </c>
      <c r="F97" s="1"/>
      <c r="G97" s="1" t="s">
        <v>21</v>
      </c>
      <c r="H97" s="1" t="s">
        <v>22</v>
      </c>
      <c r="I97" s="1" t="s">
        <v>32</v>
      </c>
      <c r="J97" s="1" t="s">
        <v>33</v>
      </c>
    </row>
    <row r="98" ht="18" customHeight="1">
      <c r="B98" s="17">
        <v>45917</v>
      </c>
      <c r="C98" s="18" t="s">
        <v>111</v>
      </c>
      <c r="D98" s="1" t="s">
        <v>112</v>
      </c>
      <c r="E98" s="6">
        <v>2440</v>
      </c>
      <c r="F98" s="1"/>
      <c r="G98" s="1" t="s">
        <v>21</v>
      </c>
      <c r="H98" s="1" t="s">
        <v>22</v>
      </c>
      <c r="I98" s="1" t="s">
        <v>32</v>
      </c>
      <c r="J98" s="1" t="s">
        <v>33</v>
      </c>
    </row>
    <row r="99"/>
    <row r="100" ht="22" customHeight="1">
      <c r="D100" s="20" t="s">
        <v>113</v>
      </c>
      <c r="E100" s="21">
        <f>=SUBTOTAL(9, E17:E98)</f>
      </c>
    </row>
    <row r="101"/>
    <row r="102"/>
    <row r="103"/>
    <row r="104">
      <c r="B104" s="22" t="s">
        <v>114</v>
      </c>
    </row>
    <row r="105" ht="130" customHeight="1">
      <c r="B105" s="23" t="s">
        <v>115</v>
      </c>
      <c r="C105" s="23"/>
      <c r="D105" s="23"/>
    </row>
  </sheetData>
  <autoFilter ref="B14:J14"/>
  <mergeCells count="8">
    <mergeCell ref="B9:F9"/>
    <mergeCell ref="G9:H9"/>
    <mergeCell ref="I9:J9"/>
    <mergeCell ref="B10:C10"/>
    <mergeCell ref="D10:F10"/>
    <mergeCell ref="G10:H10"/>
    <mergeCell ref="I10:J10"/>
    <mergeCell ref="B105:D105"/>
  </mergeCells>
  <conditionalFormatting sqref="B15:J98">
    <cfRule type="expression" dxfId="0" priority="1">
      <formula>=MOD(SUBTOTAL(103,$E$15:$E15),2)=1</formula>
    </cfRule>
  </conditionalFormatting>
  <drawing r:id="rId-drawing-1"/>
</worksheet>
</file>